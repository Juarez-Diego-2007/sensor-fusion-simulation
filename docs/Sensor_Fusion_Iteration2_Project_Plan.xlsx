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d0124ee54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Register" sheetId="1" r:id="R1342ea9d5d1c4def"/>
    <x:sheet xmlns:r="http://schemas.openxmlformats.org/officeDocument/2006/relationships" name="Overview" sheetId="2" r:id="Rf303cc30ad1f423d"/>
    <x:sheet xmlns:r="http://schemas.openxmlformats.org/officeDocument/2006/relationships" name="Timeline" sheetId="3" r:id="R0991288149084cb7"/>
    <x:sheet xmlns:r="http://schemas.openxmlformats.org/officeDocument/2006/relationships" name="Contributions" sheetId="4" r:id="R854582a3fe4e4cd2"/>
    <x:sheet xmlns:r="http://schemas.openxmlformats.org/officeDocument/2006/relationships" name="Testing" sheetId="5" r:id="Recda949056cf42c0"/>
    <x:sheet xmlns:r="http://schemas.openxmlformats.org/officeDocument/2006/relationships" name="System Design" sheetId="6" r:id="R205f4cf4aa43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17324F"/>
      <x:name val="Carlito"/>
    </x:font>
    <x:font>
      <x:b/>
      <x:sz val="10"/>
      <x:color rgb="FFFFFFFF"/>
      <x:name val="Carlito"/>
    </x:font>
    <x:font>
      <x:b/>
      <x:sz val="13"/>
      <x:color rgb="FF17324F"/>
      <x:name val="Carlito"/>
    </x:font>
    <x:font>
      <x:b/>
      <x:sz val="11"/>
      <x:color rgb="FFFFFFFF"/>
      <x:name val="Carlito"/>
    </x:font>
    <x:font>
      <x:b/>
      <x:sz val="17"/>
      <x:color rgb="FF17324F"/>
      <x:name val="Carlito"/>
    </x:font>
    <x:font>
      <x:b/>
      <x:sz val="11"/>
      <x:color rgb="FF10634F"/>
      <x:name val="Carlito"/>
    </x:font>
    <x:font>
      <x:b/>
      <x:sz val="11"/>
      <x:color rgb="FF1732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EEF4FB"/>
      </x:patternFill>
    </x:fill>
    <x:fill>
      <x:patternFill patternType="solid">
        <x:fgColor rgb="FF2663A8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EDF8F3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0634F"/>
      </x:font>
      <x:fill>
        <x:patternFill patternType="solid">
          <x:bgColor rgb="FFE4F5ED"/>
        </x:patternFill>
      </x:fill>
    </x:dxf>
    <x:dxf>
      <x:font>
        <x:color rgb="FF8A5700"/>
      </x:font>
      <x:fill>
        <x:patternFill patternType="solid">
          <x:bgColor rgb="FFFFF5DB"/>
        </x:patternFill>
      </x:fill>
    </x:dxf>
    <x:dxf>
      <x:font>
        <x:color rgb="FFA63030"/>
      </x:font>
      <x:fill>
        <x:patternFill patternType="solid">
          <x:bgColor rgb="FFFC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0e2c49be84f80" /><Relationship Type="http://schemas.openxmlformats.org/officeDocument/2006/relationships/theme" Target="/xl/theme/theme1.xml" Id="R0a27c2251b36419d" /><Relationship Type="http://schemas.openxmlformats.org/officeDocument/2006/relationships/sharedStrings" Target="/xl/sharedStrings.xml" Id="R403432c4e4f847d8" /><Relationship Type="http://schemas.openxmlformats.org/officeDocument/2006/relationships/worksheet" Target="/xl/worksheets/sheet1.xml" Id="R1342ea9d5d1c4def" /><Relationship Type="http://schemas.openxmlformats.org/officeDocument/2006/relationships/worksheet" Target="/xl/worksheets/sheet2.xml" Id="Rf303cc30ad1f423d" /><Relationship Type="http://schemas.openxmlformats.org/officeDocument/2006/relationships/worksheet" Target="/xl/worksheets/sheet3.xml" Id="R0991288149084cb7" /><Relationship Type="http://schemas.openxmlformats.org/officeDocument/2006/relationships/worksheet" Target="/xl/worksheets/sheet4.xml" Id="R854582a3fe4e4cd2" /><Relationship Type="http://schemas.openxmlformats.org/officeDocument/2006/relationships/worksheet" Target="/xl/worksheets/sheet5.xml" Id="Recda949056cf42c0" /><Relationship Type="http://schemas.openxmlformats.org/officeDocument/2006/relationships/worksheet" Target="/xl/worksheets/sheet6.xml" Id="R205f4cf4aa4347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28" hidden="0" customWidth="1"/>
    <x:col min="4" max="4" width="24" hidden="0" customWidth="1"/>
    <x:col min="5" max="5" width="43" hidden="0" customWidth="1"/>
    <x:col min="6" max="6" width="33" hidden="0" customWidth="1"/>
    <x:col min="7" max="7" width="16" hidden="0" customWidth="1"/>
    <x:col min="8" max="8" width="43" hidden="0" customWidth="1"/>
    <x:col min="9" max="9" width="14" hidden="0" customWidth="1"/>
    <x:col min="10" max="10" width="14" hidden="0" customWidth="1"/>
  </x:cols>
  <x:sheetData>
    <x:row r="1" ht="23" customHeight="1">
      <x:c r="A1" s="4" t="str">
        <x:v>ITERATION 2 | TASK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10" t="str">
        <x:v>Diego Juarez: Project Leader  •  Update status and evidence after review or new commits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27" customHeight="1">
      <x:c r="A5" s="16" t="str">
        <x:v>Task ID</x:v>
      </x:c>
      <x:c r="B5" s="16" t="str">
        <x:v>Menu</x:v>
      </x:c>
      <x:c r="C5" s="16" t="str">
        <x:v>Task / feature</x:v>
      </x:c>
      <x:c r="D5" s="16" t="str">
        <x:v>Owner</x:v>
      </x:c>
      <x:c r="E5" s="16" t="str">
        <x:v>Source file / function</x:v>
      </x:c>
      <x:c r="F5" s="16" t="str">
        <x:v>Expected deliverable</x:v>
      </x:c>
      <x:c r="G5" s="16" t="str">
        <x:v>Status</x:v>
      </x:c>
      <x:c r="H5" s="16" t="str">
        <x:v>Evidence / open issue</x:v>
      </x:c>
      <x:c r="I5" s="16" t="str">
        <x:v>Target date</x:v>
      </x:c>
      <x:c r="J5" s="16" t="str">
        <x:v>Reviewer</x:v>
      </x:c>
    </x:row>
    <x:row r="6" ht="45" customHeight="1">
      <x:c r="A6" s="24" t="str">
        <x:v>T01</x:v>
      </x:c>
      <x:c r="B6" s="24" t="str">
        <x:v>1</x:v>
      </x:c>
      <x:c r="C6" s="24" t="str">
        <x:v>Generate sensor readings</x:v>
      </x:c>
      <x:c r="D6" s="24" t="str">
        <x:v>Diego Juarez</x:v>
      </x:c>
      <x:c r="E6" s="24" t="str">
        <x:v>src/tasks_sim.cpp / generateSensorReadings()</x:v>
      </x:c>
      <x:c r="F6" s="24" t="str">
        <x:v>Two readings from 100 cm; stored for reuse</x:v>
      </x:c>
      <x:c r="G6" s="24" t="str">
        <x:v>Done</x:v>
      </x:c>
      <x:c r="H6" s="24" t="str">
        <x:v>Manual test: option 1 saved identical readings used later</x:v>
      </x:c>
      <x:c r="I6" s="24" t="str">
        <x:v>2026-10-30</x:v>
      </x:c>
      <x:c r="J6" s="24" t="str">
        <x:v>Diego</x:v>
      </x:c>
    </x:row>
    <x:row r="7" ht="45" customHeight="1">
      <x:c r="A7" s="22" t="str">
        <x:v>T02</x:v>
      </x:c>
      <x:c r="B7" s="22" t="str">
        <x:v>2</x:v>
      </x:c>
      <x:c r="C7" s="22" t="str">
        <x:v>Calculate fused estimate</x:v>
      </x:c>
      <x:c r="D7" s="22" t="str">
        <x:v>Diego Juarez</x:v>
      </x:c>
      <x:c r="E7" s="22" t="str">
        <x:v>src/tasks_sim.cpp / calculateFusedEstimate()</x:v>
      </x:c>
      <x:c r="F7" s="22" t="str">
        <x:v>Weighted estimate from shared sample</x:v>
      </x:c>
      <x:c r="G7" s="22" t="str">
        <x:v>Done</x:v>
      </x:c>
      <x:c r="H7" s="22" t="str">
        <x:v>Manual test: options 1 to 2 matched readings</x:v>
      </x:c>
      <x:c r="I7" s="22" t="str">
        <x:v>2026-10-30</x:v>
      </x:c>
      <x:c r="J7" s="22" t="str">
        <x:v>Diego</x:v>
      </x:c>
    </x:row>
    <x:row r="8" ht="45" customHeight="1">
      <x:c r="A8" s="24" t="str">
        <x:v>T03</x:v>
      </x:c>
      <x:c r="B8" s="24" t="str">
        <x:v>3</x:v>
      </x:c>
      <x:c r="C8" s="24" t="str">
        <x:v>Calculate estimation errors</x:v>
      </x:c>
      <x:c r="D8" s="24" t="str">
        <x:v>Anthony Santana</x:v>
      </x:c>
      <x:c r="E8" s="24" t="str">
        <x:v>src/evaluator.h/.cpp; src/tasks_eval.cpp / calculateEstimationErrors()</x:v>
      </x:c>
      <x:c r="F8" s="24" t="str">
        <x:v>Absolute error comparison against truth</x:v>
      </x:c>
      <x:c r="G8" s="24" t="str">
        <x:v>Done</x:v>
      </x:c>
      <x:c r="H8" s="24" t="str">
        <x:v>Validated standard case: 3.12 / 0.07 / 2.16 cm</x:v>
      </x:c>
      <x:c r="I8" s="24" t="str">
        <x:v>2026-10-30</x:v>
      </x:c>
      <x:c r="J8" s="24" t="str">
        <x:v>Diego</x:v>
      </x:c>
    </x:row>
    <x:row r="9" ht="45" customHeight="1">
      <x:c r="A9" s="22" t="str">
        <x:v>T04</x:v>
      </x:c>
      <x:c r="B9" s="22" t="str">
        <x:v>4</x:v>
      </x:c>
      <x:c r="C9" s="22" t="str">
        <x:v>Run low-noise scenario</x:v>
      </x:c>
      <x:c r="D9" s="22" t="str">
        <x:v>Anthony Santana</x:v>
      </x:c>
      <x:c r="E9" s="22" t="str">
        <x:v>src/tasks_eval.cpp / runLowNoiseScenario()</x:v>
      </x:c>
      <x:c r="F9" s="22" t="str">
        <x:v>Low-noise sample and accuracy report</x:v>
      </x:c>
      <x:c r="G9" s="22" t="str">
        <x:v>Done</x:v>
      </x:c>
      <x:c r="H9" s="22" t="str">
        <x:v>Noise 0.5/1.0; validated saved-result display</x:v>
      </x:c>
      <x:c r="I9" s="22" t="str">
        <x:v>2026-10-30</x:v>
      </x:c>
      <x:c r="J9" s="22" t="str">
        <x:v>Diego</x:v>
      </x:c>
    </x:row>
    <x:row r="10" ht="45" customHeight="1">
      <x:c r="A10" s="24" t="str">
        <x:v>T05</x:v>
      </x:c>
      <x:c r="B10" s="24" t="str">
        <x:v>5</x:v>
      </x:c>
      <x:c r="C10" s="24" t="str">
        <x:v>Run high-noise scenario</x:v>
      </x:c>
      <x:c r="D10" s="24" t="str">
        <x:v>Anthony Santana</x:v>
      </x:c>
      <x:c r="E10" s="24" t="str">
        <x:v>src/tasks_eval.cpp / runHighNoiseScenario()</x:v>
      </x:c>
      <x:c r="F10" s="24" t="str">
        <x:v>High-noise sample and accuracy report</x:v>
      </x:c>
      <x:c r="G10" s="24" t="str">
        <x:v>Done</x:v>
      </x:c>
      <x:c r="H10" s="24" t="str">
        <x:v>Noise 8.0/15.0; validated saved-result display</x:v>
      </x:c>
      <x:c r="I10" s="24" t="str">
        <x:v>2026-10-30</x:v>
      </x:c>
      <x:c r="J10" s="24" t="str">
        <x:v>Diego</x:v>
      </x:c>
    </x:row>
    <x:row r="11" ht="45" customHeight="1">
      <x:c r="A11" s="22" t="str">
        <x:v>T06</x:v>
      </x:c>
      <x:c r="B11" s="22" t="str">
        <x:v>6</x:v>
      </x:c>
      <x:c r="C11" s="22" t="str">
        <x:v>Run outlier scenario</x:v>
      </x:c>
      <x:c r="D11" s="22" t="str">
        <x:v>Anthony Santana</x:v>
      </x:c>
      <x:c r="E11" s="22" t="str">
        <x:v>src/tasks_eval.cpp / runOutlierScenario()</x:v>
      </x:c>
      <x:c r="F11" s="22" t="str">
        <x:v>Fault sample; add +40 cm to Sensor 2</x:v>
      </x:c>
      <x:c r="G11" s="22" t="str">
        <x:v>Done</x:v>
      </x:c>
      <x:c r="H11" s="22" t="str">
        <x:v>Outlier fused error 12.63 cm in observed run</x:v>
      </x:c>
      <x:c r="I11" s="22" t="str">
        <x:v>2026-10-30</x:v>
      </x:c>
      <x:c r="J11" s="22" t="str">
        <x:v>Diego</x:v>
      </x:c>
    </x:row>
    <x:row r="12" ht="45" customHeight="1">
      <x:c r="A12" s="24" t="str">
        <x:v>T07</x:v>
      </x:c>
      <x:c r="B12" s="24" t="str">
        <x:v>7</x:v>
      </x:c>
      <x:c r="C12" s="24" t="str">
        <x:v>Display saved results</x:v>
      </x:c>
      <x:c r="D12" s="24" t="str">
        <x:v>Anthony Santana</x:v>
      </x:c>
      <x:c r="E12" s="24" t="str">
        <x:v>src/tasks_eval.cpp / displaySimulationResults()</x:v>
      </x:c>
      <x:c r="F12" s="24" t="str">
        <x:v>Recent readings, weights, fusion, errors</x:v>
      </x:c>
      <x:c r="G12" s="24" t="str">
        <x:v>Done</x:v>
      </x:c>
      <x:c r="H12" s="24" t="str">
        <x:v>Option 7 redisplayed the same scenario data</x:v>
      </x:c>
      <x:c r="I12" s="24" t="str">
        <x:v>2026-10-30</x:v>
      </x:c>
      <x:c r="J12" s="24" t="str">
        <x:v>Diego</x:v>
      </x:c>
    </x:row>
    <x:row r="13" ht="45" customHeight="1">
      <x:c r="A13" s="22" t="str">
        <x:v>T08</x:v>
      </x:c>
      <x:c r="B13" s="22" t="str">
        <x:v>0</x:v>
      </x:c>
      <x:c r="C13" s="22" t="str">
        <x:v>Switch-based menu and exit</x:v>
      </x:c>
      <x:c r="D13" s="22" t="str">
        <x:v>Anthony Santana</x:v>
      </x:c>
      <x:c r="E13" s="22" t="str">
        <x:v>src/main.cpp / main()</x:v>
      </x:c>
      <x:c r="F13" s="22" t="str">
        <x:v>All seven menu tasks; exit and invalid-input handling</x:v>
      </x:c>
      <x:c r="G13" s="22" t="str">
        <x:v>Done</x:v>
      </x:c>
      <x:c r="H13" s="22" t="str">
        <x:v>C++17 build passed; menu/exit tested</x:v>
      </x:c>
      <x:c r="I13" s="22" t="str">
        <x:v>2026-10-30</x:v>
      </x:c>
      <x:c r="J13" s="22" t="str">
        <x:v>Diego</x:v>
      </x:c>
    </x:row>
    <x:row r="14" ht="45" customHeight="1">
      <x:c r="A14" s="24" t="str">
        <x:v>T09</x:v>
      </x:c>
      <x:c r="B14" s="24" t="str">
        <x:v>-</x:v>
      </x:c>
      <x:c r="C14" s="24" t="str">
        <x:v>Shared-sample state integration</x:v>
      </x:c>
      <x:c r="D14" s="24" t="str">
        <x:v>Anthony Santana; Diego review</x:v>
      </x:c>
      <x:c r="E14" s="24" t="str">
        <x:v>src/simulation_state.h; src/tasks_sim.cpp; src/tasks_eval.cpp</x:v>
      </x:c>
      <x:c r="F14" s="24" t="str">
        <x:v>Single LastSimulation state across options 1,2,3,7</x:v>
      </x:c>
      <x:c r="G14" s="24" t="str">
        <x:v>Done</x:v>
      </x:c>
      <x:c r="H14" s="24" t="str">
        <x:v>Implemented and pushed; Diego review remains</x:v>
      </x:c>
      <x:c r="I14" s="24" t="str">
        <x:v>2026-10-30</x:v>
      </x:c>
      <x:c r="J14" s="24" t="str">
        <x:v>Diego</x:v>
      </x:c>
    </x:row>
    <x:row r="15" ht="45" customHeight="1">
      <x:c r="A15" s="22" t="str">
        <x:v>T10</x:v>
      </x:c>
      <x:c r="B15" s="22" t="str">
        <x:v>-</x:v>
      </x:c>
      <x:c r="C15" s="22" t="str">
        <x:v>Class definitions and architecture diagram</x:v>
      </x:c>
      <x:c r="D15" s="22" t="str">
        <x:v>Both</x:v>
      </x:c>
      <x:c r="E15" s="22" t="str">
        <x:v>docs/System_Design_Report.pdf (report section)</x:v>
      </x:c>
      <x:c r="F15" s="22" t="str">
        <x:v>Classes, private data/public methods, diagram</x:v>
      </x:c>
      <x:c r="G15" s="22" t="str">
        <x:v>In Progress</x:v>
      </x:c>
      <x:c r="H15" s="22" t="str">
        <x:v>Prepared in new report; teammate signoff pending</x:v>
      </x:c>
      <x:c r="I15" s="22" t="str">
        <x:v>2026-11-01</x:v>
      </x:c>
      <x:c r="J15" s="22" t="str">
        <x:v>Diego</x:v>
      </x:c>
    </x:row>
    <x:row r="16" ht="45" customHeight="1">
      <x:c r="A16" s="24" t="str">
        <x:v>T11</x:v>
      </x:c>
      <x:c r="B16" s="24" t="str">
        <x:v>-</x:v>
      </x:c>
      <x:c r="C16" s="24" t="str">
        <x:v>Compile and manual testing</x:v>
      </x:c>
      <x:c r="D16" s="24" t="str">
        <x:v>Anthony Santana; Diego reviews</x:v>
      </x:c>
      <x:c r="E16" s="24" t="str">
        <x:v>g++ build; terminal test log / screenshots</x:v>
      </x:c>
      <x:c r="F16" s="24" t="str">
        <x:v>Working build and scenario results</x:v>
      </x:c>
      <x:c r="G16" s="24" t="str">
        <x:v>Done</x:v>
      </x:c>
      <x:c r="H16" s="24" t="str">
        <x:v>Testing seen for all seven options; review pending</x:v>
      </x:c>
      <x:c r="I16" s="24" t="str">
        <x:v>2026-10-30</x:v>
      </x:c>
      <x:c r="J16" s="24" t="str">
        <x:v>Diego</x:v>
      </x:c>
    </x:row>
    <x:row r="17" ht="45" customHeight="1">
      <x:c r="A17" s="22" t="str">
        <x:v>T12</x:v>
      </x:c>
      <x:c r="B17" s="22" t="str">
        <x:v>-</x:v>
      </x:c>
      <x:c r="C17" s="22" t="str">
        <x:v>Update README</x:v>
      </x:c>
      <x:c r="D17" s="22" t="str">
        <x:v>Anthony Santana</x:v>
      </x:c>
      <x:c r="E17" s="22" t="str">
        <x:v>README.md</x:v>
      </x:c>
      <x:c r="F17" s="22" t="str">
        <x:v>Build/run instructions and menu details</x:v>
      </x:c>
      <x:c r="G17" s="22" t="str">
        <x:v>In Progress</x:v>
      </x:c>
      <x:c r="H17" s="22" t="str">
        <x:v>Draft ready; add to GitHub and review</x:v>
      </x:c>
      <x:c r="I17" s="22" t="str">
        <x:v>2026-11-01</x:v>
      </x:c>
      <x:c r="J17" s="22" t="str">
        <x:v>Diego</x:v>
      </x:c>
    </x:row>
    <x:row r="18" ht="45" customHeight="1">
      <x:c r="A18" s="24" t="str">
        <x:v>T13</x:v>
      </x:c>
      <x:c r="B18" s="24" t="str">
        <x:v>-</x:v>
      </x:c>
      <x:c r="C18" s="24" t="str">
        <x:v>Revise project-plan Excel</x:v>
      </x:c>
      <x:c r="D18" s="24" t="str">
        <x:v>Both</x:v>
      </x:c>
      <x:c r="E18" s="24" t="str">
        <x:v>docs/Sensor_Fusion_Iteration2_Project_Plan.xlsx</x:v>
      </x:c>
      <x:c r="F18" s="24" t="str">
        <x:v>Task table, timeline, contributions</x:v>
      </x:c>
      <x:c r="G18" s="24" t="str">
        <x:v>In Progress</x:v>
      </x:c>
      <x:c r="H18" s="24" t="str">
        <x:v>Draft workbook created; upload/review pending</x:v>
      </x:c>
      <x:c r="I18" s="24" t="str">
        <x:v>2026-11-01</x:v>
      </x:c>
      <x:c r="J18" s="24" t="str">
        <x:v>Diego</x:v>
      </x:c>
    </x:row>
    <x:row r="19" ht="45" customHeight="1">
      <x:c r="A19" s="22" t="str">
        <x:v>T14</x:v>
      </x:c>
      <x:c r="B19" s="22" t="str">
        <x:v>-</x:v>
      </x:c>
      <x:c r="C19" s="22" t="str">
        <x:v>System-design PDF report</x:v>
      </x:c>
      <x:c r="D19" s="22" t="str">
        <x:v>Both</x:v>
      </x:c>
      <x:c r="E19" s="22" t="str">
        <x:v>docs/Sensor_Fusion_Iteration2_System_Design_Report.pdf</x:v>
      </x:c>
      <x:c r="F19" s="22" t="str">
        <x:v>Architecture, classes, tasks, progress</x:v>
      </x:c>
      <x:c r="G19" s="22" t="str">
        <x:v>In Progress</x:v>
      </x:c>
      <x:c r="H19" s="22" t="str">
        <x:v>Draft PDF created; upload/review pending</x:v>
      </x:c>
      <x:c r="I19" s="22" t="str">
        <x:v>2026-11-01</x:v>
      </x:c>
      <x:c r="J19" s="22" t="str">
        <x:v>Diego</x:v>
      </x:c>
    </x:row>
    <x:row r="20" ht="45" customHeight="1">
      <x:c r="A20" s="24" t="str">
        <x:v>T15</x:v>
      </x:c>
      <x:c r="B20" s="24" t="str">
        <x:v>-</x:v>
      </x:c>
      <x:c r="C20" s="24" t="str">
        <x:v>Pull request review and merge</x:v>
      </x:c>
      <x:c r="D20" s="24" t="str">
        <x:v>Diego Juarez</x:v>
      </x:c>
      <x:c r="E20" s="24" t="str">
        <x:v>GitHub PR feature/anthony-evaluation -&gt; main</x:v>
      </x:c>
      <x:c r="F20" s="24" t="str">
        <x:v>Reviewed and merged implementation</x:v>
      </x:c>
      <x:c r="G20" s="24" t="str">
        <x:v>In Progress</x:v>
      </x:c>
      <x:c r="H20" s="24" t="str">
        <x:v>Compare screen seen; approval/merge not verified</x:v>
      </x:c>
      <x:c r="I20" s="24" t="str">
        <x:v>2026-11-02</x:v>
      </x:c>
      <x:c r="J20" s="24" t="str">
        <x:v>Diego</x:v>
      </x:c>
    </x:row>
    <x:row r="21" ht="45" customHeight="1">
      <x:c r="A21" s="22" t="str">
        <x:v>T16</x:v>
      </x:c>
      <x:c r="B21" s="22" t="str">
        <x:v>-</x:v>
      </x:c>
      <x:c r="C21" s="22" t="str">
        <x:v>Upload final repository documentation</x:v>
      </x:c>
      <x:c r="D21" s="22" t="str">
        <x:v>Both</x:v>
      </x:c>
      <x:c r="E21" s="22" t="str">
        <x:v>README.md; docs/</x:v>
      </x:c>
      <x:c r="F21" s="22" t="str">
        <x:v>README and both docs visible on main</x:v>
      </x:c>
      <x:c r="G21" s="22" t="str">
        <x:v>Not Started</x:v>
      </x:c>
      <x:c r="H21" s="22" t="str">
        <x:v>Need commit, push, merge, and verify main</x:v>
      </x:c>
      <x:c r="I21" s="22" t="str">
        <x:v>2026-11-02</x:v>
      </x:c>
      <x:c r="J21" s="22" t="str">
        <x:v>Diego</x:v>
      </x:c>
    </x:row>
    <x:row r="22" ht="45" customHeight="1">
      <x:c r="A22" s="24" t="str">
        <x:v>T17</x:v>
      </x:c>
      <x:c r="B22" s="24" t="str">
        <x:v>-</x:v>
      </x:c>
      <x:c r="C22" s="24" t="str">
        <x:v>Individual Canvas submissions</x:v>
      </x:c>
      <x:c r="D22" s="24" t="str">
        <x:v>Each member</x:v>
      </x:c>
      <x:c r="E22" s="24" t="str">
        <x:v>Final GitHub repository link</x:v>
      </x:c>
      <x:c r="F22" s="24" t="str">
        <x:v>One submitted repository link per student</x:v>
      </x:c>
      <x:c r="G22" s="24" t="str">
        <x:v>Not Started</x:v>
      </x:c>
      <x:c r="H22" s="24" t="str">
        <x:v>After final repository review</x:v>
      </x:c>
      <x:c r="I22" s="24" t="str">
        <x:v>2026-11-02</x:v>
      </x:c>
      <x:c r="J22" s="24" t="str">
        <x:v>Diego</x:v>
      </x:c>
    </x:row>
  </x:sheetData>
  <x:mergeCells>
    <x:mergeCell ref="A1:J2"/>
    <x:mergeCell ref="A3:J3"/>
  </x:mergeCells>
  <x:conditionalFormatting sqref="G6:G22">
    <x:cfRule type="expression" dxfId="0" priority="1">
      <x:formula>G6="Done"</x:formula>
    </x:cfRule>
    <x:cfRule type="expression" dxfId="1" priority="2">
      <x:formula>G6="In Progress"</x:formula>
    </x:cfRule>
    <x:cfRule type="expression" dxfId="2" priority="3">
      <x:formula>G6="Not Started"</x:formula>
    </x:cfRule>
  </x:conditionalFormatting>
  <x:dataValidations count="1">
    <x:dataValidation type="list" sqref="G6:G22">
      <x:formula1>"Not Started,Stub,In Progress,Done"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4" hidden="0" customWidth="1"/>
  </x:cols>
  <x:sheetData>
    <x:row r="1" ht="23" customHeight="1">
      <x:c r="A1" s="4" t="str">
        <x:v>SENSOR-FUSION | ITERATION 2 PLAN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8" customHeight="1">
      <x:c r="A3" s="10" t="str">
        <x:v>Based on Iteration 1 PDF (October 13, 2026); updated with observed Iteration 2 implementation</x:v>
      </x:c>
      <x:c r="B3" s="10"/>
      <x:c r="C3" s="10"/>
      <x:c r="D3" s="10"/>
      <x:c r="E3" s="10"/>
      <x:c r="F3" s="10"/>
      <x:c r="G3" s="10"/>
    </x:row>
    <x:row r="5" ht="27" customHeight="1">
      <x:c r="A5" s="16" t="str">
        <x:v>Project</x:v>
      </x:c>
      <x:c r="B5" s="16" t="str">
        <x:v>Owner</x:v>
      </x:c>
      <x:c r="C5" s="16" t="str">
        <x:v>Technical lead</x:v>
      </x:c>
      <x:c r="D5" s="16" t="str">
        <x:v>Iteration</x:v>
      </x:c>
      <x:c r="E5" s="16" t="str">
        <x:v>Report date</x:v>
      </x:c>
      <x:c r="F5" s="16" t="str">
        <x:v>Proposed final review</x:v>
      </x:c>
      <x:c r="G5" s="16" t="str">
        <x:v>Repository</x:v>
      </x:c>
    </x:row>
    <x:row r="6" ht="50" customHeight="1">
      <x:c r="A6" s="20" t="str">
        <x:v>Sensor-Fusion System</x:v>
      </x:c>
      <x:c r="B6" s="20" t="str">
        <x:v>Diego Juarez</x:v>
      </x:c>
      <x:c r="C6" s="20" t="str">
        <x:v>Anthony Santana</x:v>
      </x:c>
      <x:c r="D6" s="20" t="str">
        <x:v>02</x:v>
      </x:c>
      <x:c r="E6" s="20" t="str">
        <x:v>2026-10-30</x:v>
      </x:c>
      <x:c r="F6" s="20" t="str">
        <x:v>2026-11-02</x:v>
      </x:c>
      <x:c r="G6" s="20" t="str">
        <x:v>Juarez-Diego-2007/sensor-fusion-simulation</x:v>
      </x:c>
    </x:row>
    <x:row r="9" ht="27" customHeight="1">
      <x:c r="A9" s="26" t="str">
        <x:v>Task status summary</x:v>
      </x:c>
      <x:c r="B9" s="26"/>
      <x:c r="C9" s="26"/>
      <x:c r="D9" s="26"/>
      <x:c r="E9" s="26"/>
      <x:c r="F9" s="26"/>
      <x:c r="G9" s="26"/>
    </x:row>
    <x:row r="11" ht="25" customHeight="1">
      <x:c r="A11" s="28" t="str">
        <x:v>Total tasks</x:v>
      </x:c>
      <x:c r="B11" s="28" t="str">
        <x:v>Done</x:v>
      </x:c>
      <x:c r="C11" s="28" t="str">
        <x:v>In progress</x:v>
      </x:c>
      <x:c r="D11" s="28" t="str">
        <x:v>Not started</x:v>
      </x:c>
    </x:row>
    <x:row r="12" ht="35" customHeight="1">
      <x:c r="A12" s="31" t="n">
        <x:f>COUNTA('Task Register'!A6:A22)</x:f>
        <x:v>17</x:v>
      </x:c>
      <x:c r="B12" s="31" t="n">
        <x:f>COUNTIF('Task Register'!G6:G22,"Done")</x:f>
        <x:v>10</x:v>
      </x:c>
      <x:c r="C12" s="31" t="n">
        <x:f>COUNTIF('Task Register'!G6:G22,"In Progress")</x:f>
        <x:v>5</x:v>
      </x:c>
      <x:c r="D12" s="31" t="n">
        <x:f>COUNTIF('Task Register'!G6:G22,"Not Started")</x:f>
        <x:v>2</x:v>
      </x:c>
    </x:row>
    <x:row r="15" ht="25" customHeight="1">
      <x:c r="A15" s="26" t="str">
        <x:v>Current assessment</x:v>
      </x:c>
      <x:c r="B15" s="26"/>
      <x:c r="C15" s="26"/>
      <x:c r="D15" s="26"/>
      <x:c r="E15" s="26"/>
      <x:c r="F15" s="26"/>
      <x:c r="G15" s="26"/>
    </x:row>
    <x:row r="17" ht="34" customHeight="1">
      <x:c r="A17" s="24" t="str">
        <x:v>Code: compiled and ran all seven menu options; options 1, 2, 3, and 7 share the same saved sensor sample.</x:v>
      </x:c>
      <x:c r="B17" s="24"/>
      <x:c r="C17" s="24"/>
      <x:c r="D17" s="24"/>
      <x:c r="E17" s="24"/>
      <x:c r="F17" s="24"/>
      <x:c r="G17" s="24"/>
    </x:row>
    <x:row r="18" ht="34" customHeight="1">
      <x:c r="A18" s="40" t="str">
        <x:v>Project leader: Diego Juarez. Code review/merge and project status check-in still require confirmation.</x:v>
      </x:c>
      <x:c r="B18" s="40"/>
      <x:c r="C18" s="40"/>
      <x:c r="D18" s="40"/>
      <x:c r="E18" s="40"/>
      <x:c r="F18" s="40"/>
      <x:c r="G18" s="40"/>
    </x:row>
    <x:row r="19" ht="34" customHeight="1">
      <x:c r="A19" s="24" t="str">
        <x:v>Documents: updated PDF, Excel plan, and README prepared; upload them into GitHub before submission.</x:v>
      </x:c>
      <x:c r="B19" s="24"/>
      <x:c r="C19" s="24"/>
      <x:c r="D19" s="24"/>
      <x:c r="E19" s="24"/>
      <x:c r="F19" s="24"/>
      <x:c r="G19" s="24"/>
    </x:row>
    <x:row r="20" ht="34" customHeight="1">
      <x:c r="A20" s="40" t="str">
        <x:v>Timeline dates in this workbook reflect the original proposed plan where official due dates were not provided.</x:v>
      </x:c>
      <x:c r="B20" s="40"/>
      <x:c r="C20" s="40"/>
      <x:c r="D20" s="40"/>
      <x:c r="E20" s="40"/>
      <x:c r="F20" s="40"/>
      <x:c r="G20" s="40"/>
    </x:row>
    <x:row r="21" ht="34" customHeight="1">
      <x:c r="A21" s="24" t="str">
        <x:v>Review all claims with Diego, then confirm status of the final main branch and individual Canvas links.</x:v>
      </x:c>
      <x:c r="B21" s="24"/>
      <x:c r="C21" s="24"/>
      <x:c r="D21" s="24"/>
      <x:c r="E21" s="24"/>
      <x:c r="F21" s="24"/>
      <x:c r="G21" s="24"/>
    </x:row>
    <x:row r="24" ht="36" customHeight="1">
      <x:c r="A24" s="46" t="str">
        <x:v>Project purpose: simulate two noisy distance measurements, compute weighted fusion, and compare absolute errors against ground truth.</x:v>
      </x:c>
      <x:c r="B24" s="46"/>
      <x:c r="C24" s="46"/>
      <x:c r="D24" s="46"/>
      <x:c r="E24" s="46"/>
      <x:c r="F24" s="46"/>
      <x:c r="G24" s="46"/>
    </x:row>
  </x:sheetData>
  <x:mergeCells>
    <x:mergeCell ref="A1:G2"/>
    <x:mergeCell ref="A3:G3"/>
    <x:mergeCell ref="A9:G9"/>
    <x:mergeCell ref="A15:G15"/>
    <x:mergeCell ref="A17:G17"/>
    <x:mergeCell ref="A18:G18"/>
    <x:mergeCell ref="A19:G19"/>
    <x:mergeCell ref="A20:G20"/>
    <x:mergeCell ref="A21:G21"/>
    <x:mergeCell ref="A24:G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5" hidden="0" customWidth="1"/>
    <x:col min="5" max="5" width="35" hidden="0" customWidth="1"/>
    <x:col min="6" max="6" width="18" hidden="0" customWidth="1"/>
    <x:col min="7" max="7" width="47" hidden="0" customWidth="1"/>
  </x:cols>
  <x:sheetData>
    <x:row r="1" ht="23" customHeight="1">
      <x:c r="A1" s="4" t="str">
        <x:v>REVISED MILESTONE TIMELINE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8" customHeight="1">
      <x:c r="A3" s="10" t="str">
        <x:v>Original proposed dates are kept where possible; dates are not official course deadlines</x:v>
      </x:c>
      <x:c r="B3" s="10"/>
      <x:c r="C3" s="10"/>
      <x:c r="D3" s="10"/>
      <x:c r="E3" s="10"/>
      <x:c r="F3" s="10"/>
      <x:c r="G3" s="10"/>
    </x:row>
    <x:row r="5" ht="27" customHeight="1">
      <x:c r="A5" s="16" t="str">
        <x:v>Milestone</x:v>
      </x:c>
      <x:c r="B5" s="16" t="str">
        <x:v>Start</x:v>
      </x:c>
      <x:c r="C5" s="16" t="str">
        <x:v>Target / end</x:v>
      </x:c>
      <x:c r="D5" s="16" t="str">
        <x:v>Lead</x:v>
      </x:c>
      <x:c r="E5" s="16" t="str">
        <x:v>Expected deliverable</x:v>
      </x:c>
      <x:c r="F5" s="16" t="str">
        <x:v>Status</x:v>
      </x:c>
      <x:c r="G5" s="16" t="str">
        <x:v>Notes</x:v>
      </x:c>
    </x:row>
    <x:row r="6" ht="45" customHeight="1">
      <x:c r="A6" s="24" t="str">
        <x:v>Scope and collaboration plan</x:v>
      </x:c>
      <x:c r="B6" s="56" t="n">
        <x:v>46308</x:v>
      </x:c>
      <x:c r="C6" s="56" t="n">
        <x:v>46310</x:v>
      </x:c>
      <x:c r="D6" s="24" t="str">
        <x:v>Both</x:v>
      </x:c>
      <x:c r="E6" s="24" t="str">
        <x:v>Iteration 1 plan and design decisions</x:v>
      </x:c>
      <x:c r="F6" s="24" t="str">
        <x:v>Done</x:v>
      </x:c>
      <x:c r="G6" s="24" t="str">
        <x:v>Original plan prepared October 13</x:v>
      </x:c>
    </x:row>
    <x:row r="7" ht="45" customHeight="1">
      <x:c r="A7" s="22" t="str">
        <x:v>Sensor and weighted fusion</x:v>
      </x:c>
      <x:c r="B7" s="54" t="n">
        <x:v>46311</x:v>
      </x:c>
      <x:c r="C7" s="54" t="n">
        <x:v>46317</x:v>
      </x:c>
      <x:c r="D7" s="22" t="str">
        <x:v>Diego Juarez</x:v>
      </x:c>
      <x:c r="E7" s="22" t="str">
        <x:v>Sensor and FusionEngine files</x:v>
      </x:c>
      <x:c r="F7" s="22" t="str">
        <x:v>Done</x:v>
      </x:c>
      <x:c r="G7" s="22" t="str">
        <x:v>Initial implementation reported completed in handoff</x:v>
      </x:c>
    </x:row>
    <x:row r="8" ht="45" customHeight="1">
      <x:c r="A8" s="24" t="str">
        <x:v>Evaluation, scenario tests and menu</x:v>
      </x:c>
      <x:c r="B8" s="56" t="n">
        <x:v>46318</x:v>
      </x:c>
      <x:c r="C8" s="56" t="n">
        <x:v>46325</x:v>
      </x:c>
      <x:c r="D8" s="24" t="str">
        <x:v>Anthony Santana</x:v>
      </x:c>
      <x:c r="E8" s="24" t="str">
        <x:v>Tasks 3-7 and main switch-based menu</x:v>
      </x:c>
      <x:c r="F8" s="24" t="str">
        <x:v>Done</x:v>
      </x:c>
      <x:c r="G8" s="24" t="str">
        <x:v>All options compiled and manually tested</x:v>
      </x:c>
    </x:row>
    <x:row r="9" ht="45" customHeight="1">
      <x:c r="A9" s="22" t="str">
        <x:v>Shared result integration</x:v>
      </x:c>
      <x:c r="B9" s="54" t="n">
        <x:v>46325</x:v>
      </x:c>
      <x:c r="C9" s="54" t="n">
        <x:v>46325</x:v>
      </x:c>
      <x:c r="D9" s="22" t="str">
        <x:v>Anthony; Diego review</x:v>
      </x:c>
      <x:c r="E9" s="22" t="str">
        <x:v>One sample for options 1,2,3,7</x:v>
      </x:c>
      <x:c r="F9" s="22" t="str">
        <x:v>Done</x:v>
      </x:c>
      <x:c r="G9" s="22" t="str">
        <x:v>Pushed on Anthony branch; review pending</x:v>
      </x:c>
    </x:row>
    <x:row r="10" ht="45" customHeight="1">
      <x:c r="A10" s="24" t="str">
        <x:v>Excel, PDF and README</x:v>
      </x:c>
      <x:c r="B10" s="56" t="n">
        <x:v>46325</x:v>
      </x:c>
      <x:c r="C10" s="56" t="n">
        <x:v>46327</x:v>
      </x:c>
      <x:c r="D10" s="24" t="str">
        <x:v>Both</x:v>
      </x:c>
      <x:c r="E10" s="24" t="str">
        <x:v>Finished docs and readable README</x:v>
      </x:c>
      <x:c r="F10" s="24" t="str">
        <x:v>In Progress</x:v>
      </x:c>
      <x:c r="G10" s="24" t="str">
        <x:v>Drafts ready; commit to docs/ and review</x:v>
      </x:c>
    </x:row>
    <x:row r="11" ht="45" customHeight="1">
      <x:c r="A11" s="22" t="str">
        <x:v>PR merge, GitHub check and Canvas links</x:v>
      </x:c>
      <x:c r="B11" s="54" t="n">
        <x:v>46327</x:v>
      </x:c>
      <x:c r="C11" s="54" t="n">
        <x:v>46328</x:v>
      </x:c>
      <x:c r="D11" s="22" t="str">
        <x:v>Both; Diego approval</x:v>
      </x:c>
      <x:c r="E11" s="22" t="str">
        <x:v>Merged repository and individual links</x:v>
      </x:c>
      <x:c r="F11" s="22" t="str">
        <x:v>Not Started</x:v>
      </x:c>
      <x:c r="G11" s="22" t="str">
        <x:v>Nov 2 was proposed, verify actual instructor deadline</x:v>
      </x:c>
    </x:row>
  </x:sheetData>
  <x:mergeCells>
    <x:mergeCell ref="A1:G2"/>
    <x:mergeCell ref="A3:G3"/>
  </x:mergeCells>
  <x:dataValidations count="1">
    <x:dataValidation type="list" sqref="F6:F11">
      <x:formula1>"Not Started,Stub,In Progress,Done"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58" hidden="0" customWidth="1"/>
    <x:col min="4" max="4" width="50" hidden="0" customWidth="1"/>
    <x:col min="5" max="5" width="51" hidden="0" customWidth="1"/>
    <x:col min="6" max="6" width="22" hidden="0" customWidth="1"/>
  </x:cols>
  <x:sheetData>
    <x:row r="1" ht="23" customHeight="1">
      <x:c r="A1" s="4" t="str">
        <x:v>TEAM RESPONSIBILITIES &amp; EVIDENCE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3" ht="28" customHeight="1">
      <x:c r="A3" s="10" t="str">
        <x:v>Record actual contributions; final peer-evaluation responses remain private</x:v>
      </x:c>
      <x:c r="B3" s="10"/>
      <x:c r="C3" s="10"/>
      <x:c r="D3" s="10"/>
      <x:c r="E3" s="10"/>
      <x:c r="F3" s="10"/>
    </x:row>
    <x:row r="5" ht="27" customHeight="1">
      <x:c r="A5" s="16" t="str">
        <x:v>Member</x:v>
      </x:c>
      <x:c r="B5" s="16" t="str">
        <x:v>Iteration 2 role</x:v>
      </x:c>
      <x:c r="C5" s="16" t="str">
        <x:v>Implementation / contribution</x:v>
      </x:c>
      <x:c r="D5" s="16" t="str">
        <x:v>Evidence</x:v>
      </x:c>
      <x:c r="E5" s="16" t="str">
        <x:v>Still required</x:v>
      </x:c>
      <x:c r="F5" s="16" t="str">
        <x:v>Review status</x:v>
      </x:c>
    </x:row>
    <x:row r="6" ht="90" customHeight="1">
      <x:c r="A6" s="24" t="str">
        <x:v>Diego Juarez</x:v>
      </x:c>
      <x:c r="B6" s="24" t="str">
        <x:v>Project Leader; sensor and fusion lead</x:v>
      </x:c>
      <x:c r="C6" s="24" t="str">
        <x:v>Initial Sensor class, FusionEngine and tasks 1-2. Coordinates daily progress, check-in, fair assignments, and tracker.</x:v>
      </x:c>
      <x:c r="D6" s="24" t="str">
        <x:v>Diego handoff; existing source files and terminal outputs.</x:v>
      </x:c>
      <x:c r="E6" s="24" t="str">
        <x:v>Review tasks_sim.cpp integration and PR; confirm final progress report.</x:v>
      </x:c>
      <x:c r="F6" s="24" t="str">
        <x:v>Pending final approval</x:v>
      </x:c>
    </x:row>
    <x:row r="7" ht="90" customHeight="1">
      <x:c r="A7" s="22" t="str">
        <x:v>Anthony Santana</x:v>
      </x:c>
      <x:c r="B7" s="22" t="str">
        <x:v>Evaluation, integration and menu lead</x:v>
      </x:c>
      <x:c r="C7" s="22" t="str">
        <x:v>Evaluation class; error comparison; scenarios; menu; LastSimulation; integration; manual testing.</x:v>
      </x:c>
      <x:c r="D7" s="22" t="str">
        <x:v>Terminal screenshots; feature/anthony-evaluation pushed commits.</x:v>
      </x:c>
      <x:c r="E7" s="22" t="str">
        <x:v>Add README and docs, confirm final main branch, submit link.</x:v>
      </x:c>
      <x:c r="F7" s="22" t="str">
        <x:v>Implementation verified</x:v>
      </x:c>
    </x:row>
    <x:row r="8" ht="90" customHeight="1">
      <x:c r="A8" s="24" t="str">
        <x:v>Both</x:v>
      </x:c>
      <x:c r="B8" s="24" t="str">
        <x:v>Shared architecture and documentation</x:v>
      </x:c>
      <x:c r="C8" s="24" t="str">
        <x:v>Design discussions; update report/Excel; repository readiness and individual submissions.</x:v>
      </x:c>
      <x:c r="D8" s="24" t="str">
        <x:v>Iteration 1 plan, Iteration 2 report, updated task register.</x:v>
      </x:c>
      <x:c r="E8" s="24" t="str">
        <x:v>Review actual dates, approve docs, finalize PR, each submit link.</x:v>
      </x:c>
      <x:c r="F8" s="24" t="str">
        <x:v>In progress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55" hidden="0" customWidth="1"/>
  </x:cols>
  <x:sheetData>
    <x:row r="1" ht="23" customHeight="1">
      <x:c r="A1" s="4" t="str">
        <x:v>MANUAL TEST EVIDENCE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10" t="str">
        <x:v>Observed examples from terminal screenshots; all readings in centimeters; other runs vary due to random noise</x:v>
      </x:c>
      <x:c r="B3" s="10"/>
      <x:c r="C3" s="10"/>
      <x:c r="D3" s="10"/>
      <x:c r="E3" s="10"/>
      <x:c r="F3" s="10"/>
      <x:c r="G3" s="10"/>
      <x:c r="H3" s="10"/>
      <x:c r="I3" s="10"/>
    </x:row>
    <x:row r="5" ht="27" customHeight="1">
      <x:c r="A5" s="16" t="str">
        <x:v>Scenario</x:v>
      </x:c>
      <x:c r="B5" s="16" t="str">
        <x:v>Ground truth</x:v>
      </x:c>
      <x:c r="C5" s="16" t="str">
        <x:v>Sensor 1</x:v>
      </x:c>
      <x:c r="D5" s="16" t="str">
        <x:v>Sensor 2</x:v>
      </x:c>
      <x:c r="E5" s="16" t="str">
        <x:v>Fused</x:v>
      </x:c>
      <x:c r="F5" s="16" t="str">
        <x:v>S1 abs error</x:v>
      </x:c>
      <x:c r="G5" s="16" t="str">
        <x:v>S2 abs error</x:v>
      </x:c>
      <x:c r="H5" s="16" t="str">
        <x:v>Fusion abs error</x:v>
      </x:c>
      <x:c r="I5" s="16" t="str">
        <x:v>Conclusion</x:v>
      </x:c>
    </x:row>
    <x:row r="6" ht="55" customHeight="1">
      <x:c r="A6" s="24" t="str">
        <x:v>Standard</x:v>
      </x:c>
      <x:c r="B6" s="64" t="n">
        <x:v>100</x:v>
      </x:c>
      <x:c r="C6" s="64" t="n">
        <x:v>96.88</x:v>
      </x:c>
      <x:c r="D6" s="64" t="n">
        <x:v>100.07</x:v>
      </x:c>
      <x:c r="E6" s="64" t="n">
        <x:v>97.84</x:v>
      </x:c>
      <x:c r="F6" s="64" t="n">
        <x:f>ABS(B6-C6)</x:f>
        <x:v>3.1200000000000045</x:v>
      </x:c>
      <x:c r="G6" s="64" t="n">
        <x:f>ABS(B6-D6)</x:f>
        <x:v>0.06999999999999318</x:v>
      </x:c>
      <x:c r="H6" s="64" t="n">
        <x:f>ABS(B6-E6)</x:f>
        <x:v>2.1599999999999966</x:v>
      </x:c>
      <x:c r="I6" s="24" t="str">
        <x:v>Fusion better than Sensor 1, worse than Sensor 2</x:v>
      </x:c>
    </x:row>
    <x:row r="7" ht="55" customHeight="1">
      <x:c r="A7" s="22" t="str">
        <x:v>Low noise</x:v>
      </x:c>
      <x:c r="B7" s="62" t="n">
        <x:v>100</x:v>
      </x:c>
      <x:c r="C7" s="62" t="n">
        <x:v>100.07</x:v>
      </x:c>
      <x:c r="D7" s="62" t="n">
        <x:v>99.79</x:v>
      </x:c>
      <x:c r="E7" s="62" t="n">
        <x:v>99.99</x:v>
      </x:c>
      <x:c r="F7" s="62" t="n">
        <x:f>ABS(B7-C7)</x:f>
        <x:v>0.06999999999999318</x:v>
      </x:c>
      <x:c r="G7" s="62" t="n">
        <x:f>ABS(B7-D7)</x:f>
        <x:v>0.20999999999999375</x:v>
      </x:c>
      <x:c r="H7" s="62" t="n">
        <x:f>ABS(B7-E7)</x:f>
        <x:v>0.010000000000005116</x:v>
      </x:c>
      <x:c r="I7" s="22" t="str">
        <x:v>Fusion better than both in this sample</x:v>
      </x:c>
    </x:row>
    <x:row r="8" ht="55" customHeight="1">
      <x:c r="A8" s="24" t="str">
        <x:v>High noise</x:v>
      </x:c>
      <x:c r="B8" s="64" t="n">
        <x:v>100</x:v>
      </x:c>
      <x:c r="C8" s="64" t="n">
        <x:v>91.69</x:v>
      </x:c>
      <x:c r="D8" s="64" t="n">
        <x:v>122.86</x:v>
      </x:c>
      <x:c r="E8" s="64" t="n">
        <x:v>101.04</x:v>
      </x:c>
      <x:c r="F8" s="64" t="n">
        <x:f>ABS(B8-C8)</x:f>
        <x:v>8.310000000000002</x:v>
      </x:c>
      <x:c r="G8" s="64" t="n">
        <x:f>ABS(B8-D8)</x:f>
        <x:v>22.86</x:v>
      </x:c>
      <x:c r="H8" s="64" t="n">
        <x:f>ABS(B8-E8)</x:f>
        <x:v>1.0400000000000063</x:v>
      </x:c>
      <x:c r="I8" s="24" t="str">
        <x:v>Fusion better than both in this sample</x:v>
      </x:c>
    </x:row>
    <x:row r="9" ht="55" customHeight="1">
      <x:c r="A9" s="22" t="str">
        <x:v>Outlier</x:v>
      </x:c>
      <x:c r="B9" s="62" t="n">
        <x:v>100</x:v>
      </x:c>
      <x:c r="C9" s="62" t="n">
        <x:v>99.77</x:v>
      </x:c>
      <x:c r="D9" s="62" t="n">
        <x:v>142.64</x:v>
      </x:c>
      <x:c r="E9" s="62" t="n">
        <x:v>112.63</x:v>
      </x:c>
      <x:c r="F9" s="62" t="n">
        <x:f>ABS(B9-C9)</x:f>
        <x:v>0.23000000000000398</x:v>
      </x:c>
      <x:c r="G9" s="62" t="n">
        <x:f>ABS(B9-D9)</x:f>
        <x:v>42.639999999999986</x:v>
      </x:c>
      <x:c r="H9" s="62" t="n">
        <x:f>ABS(B9-E9)</x:f>
        <x:v>12.629999999999995</x:v>
      </x:c>
      <x:c r="I9" s="22" t="str">
        <x:v>Healthy Sensor 1 beats fusion; faulty Sensor 2 degrades estimate</x:v>
      </x:c>
    </x:row>
    <x:row r="12" ht="35" customHeight="1">
      <x:c r="A12" s="46" t="str">
        <x:v>Manual verification sequence: 7 -&gt; 1 -&gt; 7 -&gt; 2 -&gt; 3 -&gt; 7 -&gt; 4 -&gt; 7 -&gt; 5 -&gt; 7 -&gt; 6 -&gt; 7 -&gt; 0</x:v>
      </x:c>
      <x:c r="B12" s="46"/>
      <x:c r="C12" s="46"/>
      <x:c r="D12" s="46"/>
      <x:c r="E12" s="46"/>
      <x:c r="F12" s="46"/>
      <x:c r="G12" s="46"/>
      <x:c r="H12" s="46"/>
      <x:c r="I12" s="46"/>
    </x:row>
    <x:row r="14" ht="36" customHeight="1">
      <x:c r="A14" s="20" t="str">
        <x:v>Validation: standard sample readings 96.88 and 100.07 gave fused 97.84; they matched across options 1, 2, 3, and 7.</x:v>
      </x:c>
      <x:c r="B14" s="20"/>
      <x:c r="C14" s="20"/>
      <x:c r="D14" s="20"/>
      <x:c r="E14" s="20"/>
      <x:c r="F14" s="20"/>
      <x:c r="G14" s="20"/>
      <x:c r="H14" s="20"/>
      <x:c r="I14" s="20"/>
    </x:row>
  </x:sheetData>
  <x:mergeCells>
    <x:mergeCell ref="A1:I2"/>
    <x:mergeCell ref="A3:I3"/>
    <x:mergeCell ref="A12:I12"/>
    <x:mergeCell ref="A14:I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42" hidden="0" customWidth="1"/>
    <x:col min="3" max="3" width="64" hidden="0" customWidth="1"/>
    <x:col min="4" max="4" width="47" hidden="0" customWidth="1"/>
    <x:col min="5" max="5" width="19" hidden="0" customWidth="1"/>
  </x:cols>
  <x:sheetData>
    <x:row r="1" ht="23" customHeight="1">
      <x:c r="A1" s="4" t="str">
        <x:v>CLASSES, MENU &amp; FILE DESIGN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Course requirement: each class lists private data/public methods; each task maps to exactly one menu entry</x:v>
      </x:c>
      <x:c r="B3" s="10"/>
      <x:c r="C3" s="10"/>
      <x:c r="D3" s="10"/>
      <x:c r="E3" s="10"/>
    </x:row>
    <x:row r="5" ht="27" customHeight="1">
      <x:c r="A5" s="16" t="str">
        <x:v>Type / component</x:v>
      </x:c>
      <x:c r="B5" s="16" t="str">
        <x:v>Private data</x:v>
      </x:c>
      <x:c r="C5" s="16" t="str">
        <x:v>Public interface / responsibilities</x:v>
      </x:c>
      <x:c r="D5" s="16" t="str">
        <x:v>File(s)</x:v>
      </x:c>
      <x:c r="E5" s="16" t="str">
        <x:v>Owner</x:v>
      </x:c>
    </x:row>
    <x:row r="6" ht="65" customHeight="1">
      <x:c r="A6" s="24" t="str">
        <x:v>Sensor</x:v>
      </x:c>
      <x:c r="B6" s="24" t="str">
        <x:v>name, noiseLevel, weight, generator</x:v>
      </x:c>
      <x:c r="C6" s="24" t="str">
        <x:v>constructor; generateReading(); getWeight(); getName()</x:v>
      </x:c>
      <x:c r="D6" s="24" t="str">
        <x:v>sensor.h / sensor.cpp</x:v>
      </x:c>
      <x:c r="E6" s="24" t="str">
        <x:v>Diego</x:v>
      </x:c>
    </x:row>
    <x:row r="7" ht="65" customHeight="1">
      <x:c r="A7" s="22" t="str">
        <x:v>FusionEngine</x:v>
      </x:c>
      <x:c r="B7" s="22" t="str">
        <x:v>None</x:v>
      </x:c>
      <x:c r="C7" s="22" t="str">
        <x:v>static weightedAverage(reading1,weight1,reading2,weight2)</x:v>
      </x:c>
      <x:c r="D7" s="22" t="str">
        <x:v>fusion.h / fusion.cpp</x:v>
      </x:c>
      <x:c r="E7" s="22" t="str">
        <x:v>Diego</x:v>
      </x:c>
    </x:row>
    <x:row r="8" ht="65" customHeight="1">
      <x:c r="A8" s="24" t="str">
        <x:v>Evaluation</x:v>
      </x:c>
      <x:c r="B8" s="24" t="str">
        <x:v>sensor1Error, sensor2Error, fusedError</x:v>
      </x:c>
      <x:c r="C8" s="24" t="str">
        <x:v>constructor; absoluteError(); printReport()</x:v>
      </x:c>
      <x:c r="D8" s="24" t="str">
        <x:v>evaluator.h / evaluator.cpp</x:v>
      </x:c>
      <x:c r="E8" s="24" t="str">
        <x:v>Anthony</x:v>
      </x:c>
    </x:row>
    <x:row r="9" ht="65" customHeight="1">
      <x:c r="A9" s="22" t="str">
        <x:v>LastSimulation (struct)</x:v>
      </x:c>
      <x:c r="B9" s="22" t="str">
        <x:v>None (all public fields)</x:v>
      </x:c>
      <x:c r="C9" s="22" t="str">
        <x:v>available, scenario, truth, readings, weights, fusedEstimate, fusedAvailable</x:v>
      </x:c>
      <x:c r="D9" s="22" t="str">
        <x:v>simulation_state.h; instance in tasks_eval.cpp</x:v>
      </x:c>
      <x:c r="E9" s="22" t="str">
        <x:v>Anthony</x:v>
      </x:c>
    </x:row>
    <x:row r="12" ht="39" customHeight="1">
      <x:c r="A12" s="67" t="str">
        <x:v>Flow: menu (main.cpp) -&gt; tasks_sim.cpp / tasks_eval.cpp -&gt; Sensor, FusionEngine, Evaluation -&gt; LastSimulation -&gt; console output</x:v>
      </x:c>
      <x:c r="B12" s="67"/>
      <x:c r="C12" s="67"/>
      <x:c r="D12" s="67"/>
      <x:c r="E12" s="67"/>
    </x:row>
  </x:sheetData>
  <x:mergeCells>
    <x:mergeCell ref="A1:E2"/>
    <x:mergeCell ref="A3:E3"/>
    <x:mergeCell ref="A12:E12"/>
  </x:mergeCells>
  <x:pageMargins left="0.7" right="0.7" top="0.75" bottom="0.75" header="0.3" footer="0.3"/>
</x:worksheet>
</file>